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13_ncr:1_{5A44ABD2-8A85-43F9-AE4E-934AD28CF33C}" xr6:coauthVersionLast="47" xr6:coauthVersionMax="47" xr10:uidLastSave="{00000000-0000-0000-0000-000000000000}"/>
  <bookViews>
    <workbookView xWindow="-108" yWindow="-108" windowWidth="23256" windowHeight="12456" xr2:uid="{73A470A2-A5C8-4B7D-9B39-330B30C4557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9" i="1"/>
  <c r="C11" i="1" l="1"/>
  <c r="C10" i="1"/>
  <c r="C39" i="1"/>
  <c r="D33" i="1" l="1"/>
  <c r="D34" i="1"/>
  <c r="D39" i="1"/>
  <c r="D38" i="1"/>
  <c r="D37" i="1"/>
  <c r="D36" i="1"/>
  <c r="D35" i="1"/>
  <c r="D43" i="1"/>
  <c r="D42" i="1"/>
  <c r="D41" i="1"/>
  <c r="D40" i="1"/>
  <c r="C33" i="1"/>
  <c r="C42" i="1"/>
  <c r="F8" i="1"/>
  <c r="C36" i="1"/>
  <c r="C43" i="1"/>
  <c r="C35" i="1"/>
  <c r="C34" i="1"/>
  <c r="C41" i="1"/>
  <c r="C37" i="1"/>
  <c r="C40" i="1"/>
  <c r="C38" i="1"/>
  <c r="F9" i="1" l="1"/>
  <c r="F10" i="1"/>
  <c r="C19" i="1" l="1"/>
  <c r="C18" i="1"/>
  <c r="F11" i="1" l="1"/>
  <c r="F12" i="1" l="1"/>
</calcChain>
</file>

<file path=xl/sharedStrings.xml><?xml version="1.0" encoding="utf-8"?>
<sst xmlns="http://schemas.openxmlformats.org/spreadsheetml/2006/main" count="35" uniqueCount="28">
  <si>
    <t>Price per Subscriber</t>
  </si>
  <si>
    <t>Varaible Cost per Subscriber</t>
  </si>
  <si>
    <t>Montly Fixed Costs</t>
  </si>
  <si>
    <t>Numbers of Subscribers</t>
  </si>
  <si>
    <t>Contribution Margin per Subscriber</t>
  </si>
  <si>
    <t>Contribution margin ratio</t>
  </si>
  <si>
    <t>Break-even subscribers</t>
  </si>
  <si>
    <t>Monthly Profit</t>
  </si>
  <si>
    <t>Subscribers</t>
  </si>
  <si>
    <t>Total Revenue</t>
  </si>
  <si>
    <t>Total Costs</t>
  </si>
  <si>
    <t>MODEL ASSUMPTIONS</t>
  </si>
  <si>
    <t>FINACIAL METRICS</t>
  </si>
  <si>
    <t>Base</t>
  </si>
  <si>
    <t>Optimistic</t>
  </si>
  <si>
    <t>Pessimistic</t>
  </si>
  <si>
    <t>Scenario</t>
  </si>
  <si>
    <t>Price</t>
  </si>
  <si>
    <t>Var Cost</t>
  </si>
  <si>
    <t>Fixed Cost</t>
  </si>
  <si>
    <t>Churn</t>
  </si>
  <si>
    <t>SCENARIO TABLE</t>
  </si>
  <si>
    <t>Server Cost (Scalability)</t>
  </si>
  <si>
    <r>
      <t xml:space="preserve">                               </t>
    </r>
    <r>
      <rPr>
        <sz val="20"/>
        <color theme="3"/>
        <rFont val="Calibri"/>
        <family val="2"/>
        <scheme val="minor"/>
      </rPr>
      <t>SaaS Subscription Financial Model</t>
    </r>
  </si>
  <si>
    <t>Scenario Selector:</t>
  </si>
  <si>
    <t xml:space="preserve">                  Break-even &amp; Sensitivity Analysis</t>
  </si>
  <si>
    <t>Break-Even Comparison</t>
  </si>
  <si>
    <t>Break-Even Subs.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</si>
</sst>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DKK]\ * #,##0.00_-;\-[$DKK]\ * #,##0.00_-;_-[$DKK]\ * &quot;-&quot;??_-;_-@_-"/>
    <numFmt numFmtId="165" formatCode="_-[$DKK]\ * #,##0_-;\-[$DKK]\ * #,##0_-;_-[$DKK]\ * &quot;-&quot;??_-;_-@_-"/>
    <numFmt numFmtId="166" formatCode="0.0"/>
  </numFmts>
  <fonts count="8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Border="1"/>
    <xf numFmtId="164" fontId="1" fillId="0" borderId="0" xfId="0" applyNumberFormat="1" applyFont="1" applyBorder="1"/>
    <xf numFmtId="0" fontId="0" fillId="3" borderId="0" xfId="0" applyFill="1" applyBorder="1"/>
    <xf numFmtId="0" fontId="5" fillId="2" borderId="1" xfId="0" applyFont="1" applyFill="1" applyBorder="1"/>
    <xf numFmtId="166" fontId="5" fillId="2" borderId="0" xfId="0" applyNumberFormat="1" applyFont="1" applyFill="1" applyBorder="1"/>
    <xf numFmtId="16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3" borderId="1" xfId="0" applyFont="1" applyFill="1" applyBorder="1"/>
    <xf numFmtId="0" fontId="0" fillId="0" borderId="1" xfId="0" applyFont="1" applyFill="1" applyBorder="1"/>
    <xf numFmtId="0" fontId="0" fillId="3" borderId="1" xfId="0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right"/>
    </xf>
    <xf numFmtId="9" fontId="0" fillId="0" borderId="1" xfId="0" applyNumberFormat="1" applyFont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10" fontId="7" fillId="3" borderId="1" xfId="0" applyNumberFormat="1" applyFont="1" applyFill="1" applyBorder="1"/>
    <xf numFmtId="1" fontId="7" fillId="3" borderId="1" xfId="0" applyNumberFormat="1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165" fontId="7" fillId="3" borderId="1" xfId="0" applyNumberFormat="1" applyFont="1" applyFill="1" applyBorder="1"/>
    <xf numFmtId="165" fontId="0" fillId="3" borderId="1" xfId="0" applyNumberFormat="1" applyFont="1" applyFill="1" applyBorder="1"/>
    <xf numFmtId="165" fontId="0" fillId="0" borderId="1" xfId="0" applyNumberFormat="1" applyBorder="1"/>
    <xf numFmtId="165" fontId="5" fillId="3" borderId="1" xfId="0" applyNumberFormat="1" applyFont="1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5A5A5A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solidFill>
                  <a:schemeClr val="tx1"/>
                </a:solidFill>
              </a:rPr>
              <a:t>Break-even</a:t>
            </a:r>
            <a:r>
              <a:rPr lang="en-GB" sz="16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 </a:t>
            </a:r>
            <a:r>
              <a:rPr lang="en-GB" sz="1600" b="1" i="0" u="none" strike="noStrike" baseline="0">
                <a:solidFill>
                  <a:schemeClr val="tx1"/>
                </a:solidFill>
              </a:rPr>
              <a:t>Analysis</a:t>
            </a:r>
            <a:endParaRPr lang="en-GB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005630951364897"/>
          <c:y val="1.4455779731858565E-2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t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0831386278245"/>
          <c:y val="0.15193024498183352"/>
          <c:w val="0.79642696033103189"/>
          <c:h val="0.6260608493472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Sheet1!$B$33:$B$43</c:f>
              <c:numCache>
                <c:formatCode>General</c:formatCode>
                <c:ptCount val="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</c:numCache>
            </c:numRef>
          </c:xVal>
          <c:yVal>
            <c:numRef>
              <c:f>Sheet1!$C$33:$C$43</c:f>
              <c:numCache>
                <c:formatCode>_-[$DKK]\ * #,##0_-;\-[$DKK]\ * #,##0_-;_-[$DKK]\ * "-"??_-;_-@_-</c:formatCode>
                <c:ptCount val="11"/>
                <c:pt idx="0" formatCode="_-[$DKK]\ * #,##0.00_-;\-[$DKK]\ * #,##0.00_-;_-[$DKK]\ * &quot;-&quot;??_-;_-@_-">
                  <c:v>0</c:v>
                </c:pt>
                <c:pt idx="1">
                  <c:v>15800</c:v>
                </c:pt>
                <c:pt idx="2">
                  <c:v>31600</c:v>
                </c:pt>
                <c:pt idx="3">
                  <c:v>47400</c:v>
                </c:pt>
                <c:pt idx="4">
                  <c:v>63200</c:v>
                </c:pt>
                <c:pt idx="5">
                  <c:v>79000</c:v>
                </c:pt>
                <c:pt idx="6">
                  <c:v>94800</c:v>
                </c:pt>
                <c:pt idx="7">
                  <c:v>110600</c:v>
                </c:pt>
                <c:pt idx="8">
                  <c:v>126400</c:v>
                </c:pt>
                <c:pt idx="9">
                  <c:v>142200</c:v>
                </c:pt>
                <c:pt idx="10">
                  <c:v>158000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6-4BD5-8F90-B76D2A4EAF38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Total Costs</c:v>
                </c:pt>
              </c:strCache>
            </c:strRef>
          </c:tx>
          <c:spPr>
            <a:ln w="952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Sheet1!$B$33:$B$43</c:f>
              <c:numCache>
                <c:formatCode>General</c:formatCode>
                <c:ptCount val="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</c:numCache>
            </c:numRef>
          </c:xVal>
          <c:yVal>
            <c:numRef>
              <c:f>Sheet1!$D$33:$D$43</c:f>
              <c:numCache>
                <c:formatCode>_-[$DKK]\ * #,##0_-;\-[$DKK]\ * #,##0_-;_-[$DKK]\ * "-"??_-;_-@_-</c:formatCode>
                <c:ptCount val="11"/>
                <c:pt idx="0">
                  <c:v>50000</c:v>
                </c:pt>
                <c:pt idx="1">
                  <c:v>54000</c:v>
                </c:pt>
                <c:pt idx="2">
                  <c:v>58000</c:v>
                </c:pt>
                <c:pt idx="3">
                  <c:v>62000</c:v>
                </c:pt>
                <c:pt idx="4">
                  <c:v>66000</c:v>
                </c:pt>
                <c:pt idx="5">
                  <c:v>70000</c:v>
                </c:pt>
                <c:pt idx="6">
                  <c:v>74000</c:v>
                </c:pt>
                <c:pt idx="7">
                  <c:v>78000</c:v>
                </c:pt>
                <c:pt idx="8">
                  <c:v>82000</c:v>
                </c:pt>
                <c:pt idx="9">
                  <c:v>86000</c:v>
                </c:pt>
                <c:pt idx="10">
                  <c:v>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6-4BD5-8F90-B76D2A4EAF38}"/>
            </c:ext>
          </c:extLst>
        </c:ser>
        <c:ser>
          <c:idx val="2"/>
          <c:order val="2"/>
          <c:tx>
            <c:v>Break-Even Vertical</c:v>
          </c:tx>
          <c:spPr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19-4AFD-BE98-CD8C409072E3}"/>
              </c:ext>
            </c:extLst>
          </c:dPt>
          <c:xVal>
            <c:numRef>
              <c:f>Sheet1!$C$18:$C$19</c:f>
              <c:numCache>
                <c:formatCode>0.0</c:formatCode>
                <c:ptCount val="2"/>
                <c:pt idx="0">
                  <c:v>847.45762711864404</c:v>
                </c:pt>
                <c:pt idx="1">
                  <c:v>847.45762711864404</c:v>
                </c:pt>
              </c:numCache>
            </c:numRef>
          </c:xVal>
          <c:yVal>
            <c:numRef>
              <c:f>Sheet1!$D$18:$D$19</c:f>
              <c:numCache>
                <c:formatCode>General</c:formatCode>
                <c:ptCount val="2"/>
                <c:pt idx="0">
                  <c:v>0</c:v>
                </c:pt>
                <c:pt idx="1">
                  <c:v>180000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19-4AFD-BE98-CD8C40907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325199"/>
        <c:axId val="1009326447"/>
      </c:scatterChart>
      <c:valAx>
        <c:axId val="100932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326447"/>
        <c:crosses val="autoZero"/>
        <c:crossBetween val="midCat"/>
      </c:valAx>
      <c:valAx>
        <c:axId val="1009326447"/>
        <c:scaling>
          <c:orientation val="minMax"/>
          <c:max val="15800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_-[$DKK]\ * #,##0_-;\-[$DKK]\ * #,##0_-;_-[$DKK]\ * &quot;-&quot;_-;_-@_-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325199"/>
        <c:crosses val="autoZero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bg2"/>
          </a:solidFill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1068781</xdr:colOff>
      <xdr:row>13</xdr:row>
      <xdr:rowOff>70499</xdr:rowOff>
    </xdr:from>
    <xdr:to>
      <xdr:col>4</xdr:col>
      <xdr:colOff>970885</xdr:colOff>
      <xdr:row>27</xdr:row>
      <xdr:rowOff>156421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23F795-C594-43F3-8B30-099D6029B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aS%20Unit%20Economics%20&amp;%20Grow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3">
          <cell r="C23">
            <v>6000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F638-EF87-47EE-A3CC-4B27146ECBBC}">
  <dimension ref="A1:M61"/>
  <sheetViews>
    <sheetView showGridLines="0" tabSelected="1" zoomScale="77" zoomScaleNormal="77" workbookViewId="0">
      <selection activeCell="C5" sqref="C5"/>
    </sheetView>
  </sheetViews>
  <sheetFormatPr defaultRowHeight="14.4"/>
  <cols>
    <col min="1" max="1" width="17.109375" customWidth="1"/>
    <col min="2" max="2" width="30.88671875" customWidth="1"/>
    <col min="3" max="3" width="17" customWidth="1"/>
    <col min="4" max="4" width="12.44140625" bestFit="1" customWidth="1"/>
    <col min="5" max="5" width="34.77734375" customWidth="1"/>
    <col min="6" max="6" width="17.88671875" customWidth="1"/>
    <col min="7" max="7" width="15.6640625" customWidth="1"/>
    <col min="8" max="8" width="16" customWidth="1"/>
    <col min="9" max="9" width="11.109375" customWidth="1"/>
    <col min="10" max="10" width="9.6640625" customWidth="1"/>
    <col min="11" max="11" width="11.88671875" customWidth="1"/>
    <col min="12" max="12" width="11" customWidth="1"/>
  </cols>
  <sheetData>
    <row r="1" spans="1:13" ht="25.8" customHeight="1">
      <c r="A1" s="30" t="s">
        <v>23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3" ht="13.8" customHeight="1">
      <c r="E2" s="29" t="s">
        <v>25</v>
      </c>
      <c r="F2" s="29"/>
    </row>
    <row r="4" spans="1:13" ht="17.399999999999999" customHeight="1"/>
    <row r="5" spans="1:13">
      <c r="B5" s="9" t="s">
        <v>24</v>
      </c>
      <c r="C5" s="8" t="s">
        <v>13</v>
      </c>
      <c r="D5" s="2"/>
    </row>
    <row r="6" spans="1:13">
      <c r="D6" s="2"/>
    </row>
    <row r="7" spans="1:13" ht="13.8" customHeight="1">
      <c r="B7" s="28" t="s">
        <v>11</v>
      </c>
      <c r="C7" s="28"/>
      <c r="D7" s="2"/>
      <c r="E7" s="28" t="s">
        <v>12</v>
      </c>
      <c r="F7" s="28"/>
      <c r="H7" s="32" t="s">
        <v>21</v>
      </c>
      <c r="I7" s="33"/>
      <c r="J7" s="33"/>
      <c r="K7" s="33"/>
      <c r="L7" s="33"/>
      <c r="M7" s="34"/>
    </row>
    <row r="8" spans="1:13" ht="15.6">
      <c r="B8" s="10" t="s">
        <v>0</v>
      </c>
      <c r="C8" s="23">
        <f>INDEX($I$9:$I$11, MATCH($C$5,$H$9:$H$11,0))</f>
        <v>79</v>
      </c>
      <c r="D8" s="2"/>
      <c r="E8" s="10" t="s">
        <v>4</v>
      </c>
      <c r="F8" s="17">
        <f>C8-C9</f>
        <v>59</v>
      </c>
      <c r="H8" s="13" t="s">
        <v>16</v>
      </c>
      <c r="I8" s="14" t="s">
        <v>17</v>
      </c>
      <c r="J8" s="10" t="s">
        <v>18</v>
      </c>
      <c r="K8" s="10" t="s">
        <v>19</v>
      </c>
      <c r="L8" s="10" t="s">
        <v>8</v>
      </c>
      <c r="M8" s="10" t="s">
        <v>20</v>
      </c>
    </row>
    <row r="9" spans="1:13" ht="15.6">
      <c r="B9" s="10" t="s">
        <v>1</v>
      </c>
      <c r="C9" s="23">
        <f>VLOOKUP($C$5,$H$9:$M$11,3,FALSE)</f>
        <v>20</v>
      </c>
      <c r="D9" s="2"/>
      <c r="E9" s="10" t="s">
        <v>5</v>
      </c>
      <c r="F9" s="19">
        <f>F8/C8</f>
        <v>0.74683544303797467</v>
      </c>
      <c r="H9" s="13" t="s">
        <v>13</v>
      </c>
      <c r="I9" s="15">
        <v>79</v>
      </c>
      <c r="J9" s="10">
        <v>20</v>
      </c>
      <c r="K9" s="10">
        <v>50000</v>
      </c>
      <c r="L9" s="10">
        <v>1000</v>
      </c>
      <c r="M9" s="16">
        <v>0.05</v>
      </c>
    </row>
    <row r="10" spans="1:13" ht="15.6">
      <c r="B10" s="10" t="s">
        <v>2</v>
      </c>
      <c r="C10" s="23">
        <f>VLOOKUP($C$5,$H$9:$M$11,4,FALSE)</f>
        <v>50000</v>
      </c>
      <c r="E10" s="10" t="s">
        <v>6</v>
      </c>
      <c r="F10" s="20">
        <f>C10/F8</f>
        <v>847.45762711864404</v>
      </c>
      <c r="H10" s="13" t="s">
        <v>14</v>
      </c>
      <c r="I10" s="15">
        <v>82</v>
      </c>
      <c r="J10" s="10">
        <v>19</v>
      </c>
      <c r="K10" s="10">
        <v>49000</v>
      </c>
      <c r="L10" s="10">
        <v>1200</v>
      </c>
      <c r="M10" s="16">
        <v>0.03</v>
      </c>
    </row>
    <row r="11" spans="1:13" ht="15.6">
      <c r="B11" s="10" t="s">
        <v>3</v>
      </c>
      <c r="C11" s="18">
        <f>VLOOKUP($C$5,$H$9:$M$11,5,FALSE)</f>
        <v>1000</v>
      </c>
      <c r="E11" s="11" t="s">
        <v>7</v>
      </c>
      <c r="F11" s="23">
        <f>C11*(C8-C9) - C10 -[1]Sheet1!$C$23</f>
        <v>3000</v>
      </c>
      <c r="H11" s="13" t="s">
        <v>15</v>
      </c>
      <c r="I11" s="15">
        <v>75</v>
      </c>
      <c r="J11" s="10">
        <v>21</v>
      </c>
      <c r="K11" s="10">
        <v>51000</v>
      </c>
      <c r="L11" s="10">
        <v>950</v>
      </c>
      <c r="M11" s="16">
        <v>7.0000000000000007E-2</v>
      </c>
    </row>
    <row r="12" spans="1:13">
      <c r="E12" s="12" t="s">
        <v>22</v>
      </c>
      <c r="F12" s="24">
        <f>[1]Sheet1!$C$23</f>
        <v>6000</v>
      </c>
    </row>
    <row r="14" spans="1:13" ht="17.399999999999999" customHeight="1"/>
    <row r="15" spans="1:13" ht="13.8" customHeight="1">
      <c r="F15" s="28" t="s">
        <v>26</v>
      </c>
      <c r="G15" s="28"/>
      <c r="H15" s="28"/>
    </row>
    <row r="16" spans="1:13">
      <c r="F16" s="8" t="s">
        <v>16</v>
      </c>
      <c r="G16" s="8" t="s">
        <v>27</v>
      </c>
      <c r="H16" s="8" t="s">
        <v>7</v>
      </c>
    </row>
    <row r="17" spans="2:8">
      <c r="F17" s="8" t="s">
        <v>13</v>
      </c>
      <c r="G17" s="8">
        <v>1000</v>
      </c>
      <c r="H17" s="25">
        <v>3000</v>
      </c>
    </row>
    <row r="18" spans="2:8">
      <c r="C18" s="6">
        <f>F10</f>
        <v>847.45762711864404</v>
      </c>
      <c r="D18">
        <v>0</v>
      </c>
      <c r="F18" s="8" t="s">
        <v>14</v>
      </c>
      <c r="G18" s="8">
        <v>1150</v>
      </c>
      <c r="H18" s="25">
        <v>17450</v>
      </c>
    </row>
    <row r="19" spans="2:8">
      <c r="C19" s="7">
        <f>F10</f>
        <v>847.45762711864404</v>
      </c>
      <c r="D19">
        <v>180000</v>
      </c>
      <c r="E19" s="27"/>
      <c r="F19" s="8" t="s">
        <v>15</v>
      </c>
      <c r="G19" s="8">
        <v>950</v>
      </c>
      <c r="H19" s="25">
        <v>-11200</v>
      </c>
    </row>
    <row r="32" spans="2:8">
      <c r="B32" s="5" t="s">
        <v>8</v>
      </c>
      <c r="C32" s="5" t="s">
        <v>9</v>
      </c>
      <c r="D32" s="5" t="s">
        <v>10</v>
      </c>
    </row>
    <row r="33" spans="1:4">
      <c r="A33" s="3"/>
      <c r="B33" s="21">
        <v>0</v>
      </c>
      <c r="C33" s="22">
        <f t="shared" ref="C33:C43" si="0">B33*$C$8</f>
        <v>0</v>
      </c>
      <c r="D33" s="26">
        <f>$C$10+(B33*$C$9)</f>
        <v>50000</v>
      </c>
    </row>
    <row r="34" spans="1:4">
      <c r="A34" s="4"/>
      <c r="B34" s="21">
        <v>200</v>
      </c>
      <c r="C34" s="26">
        <f t="shared" si="0"/>
        <v>15800</v>
      </c>
      <c r="D34" s="26">
        <f>$C$10+(B34*$C$9)</f>
        <v>54000</v>
      </c>
    </row>
    <row r="35" spans="1:4">
      <c r="B35" s="21">
        <v>400</v>
      </c>
      <c r="C35" s="26">
        <f t="shared" si="0"/>
        <v>31600</v>
      </c>
      <c r="D35" s="26">
        <f t="shared" ref="D35:D43" si="1">$C$10 + (B35*$C$9)</f>
        <v>58000</v>
      </c>
    </row>
    <row r="36" spans="1:4">
      <c r="B36" s="21">
        <v>600</v>
      </c>
      <c r="C36" s="26">
        <f t="shared" si="0"/>
        <v>47400</v>
      </c>
      <c r="D36" s="26">
        <f t="shared" si="1"/>
        <v>62000</v>
      </c>
    </row>
    <row r="37" spans="1:4">
      <c r="B37" s="21">
        <v>800</v>
      </c>
      <c r="C37" s="26">
        <f t="shared" si="0"/>
        <v>63200</v>
      </c>
      <c r="D37" s="26">
        <f t="shared" si="1"/>
        <v>66000</v>
      </c>
    </row>
    <row r="38" spans="1:4">
      <c r="B38" s="21">
        <v>1000</v>
      </c>
      <c r="C38" s="26">
        <f t="shared" si="0"/>
        <v>79000</v>
      </c>
      <c r="D38" s="26">
        <f t="shared" si="1"/>
        <v>70000</v>
      </c>
    </row>
    <row r="39" spans="1:4">
      <c r="B39" s="21">
        <v>1200</v>
      </c>
      <c r="C39" s="26">
        <f t="shared" si="0"/>
        <v>94800</v>
      </c>
      <c r="D39" s="26">
        <f t="shared" si="1"/>
        <v>74000</v>
      </c>
    </row>
    <row r="40" spans="1:4">
      <c r="B40" s="21">
        <v>1400</v>
      </c>
      <c r="C40" s="26">
        <f t="shared" si="0"/>
        <v>110600</v>
      </c>
      <c r="D40" s="26">
        <f t="shared" si="1"/>
        <v>78000</v>
      </c>
    </row>
    <row r="41" spans="1:4">
      <c r="B41" s="21">
        <v>1600</v>
      </c>
      <c r="C41" s="26">
        <f t="shared" si="0"/>
        <v>126400</v>
      </c>
      <c r="D41" s="26">
        <f t="shared" si="1"/>
        <v>82000</v>
      </c>
    </row>
    <row r="42" spans="1:4">
      <c r="B42" s="21">
        <v>1800</v>
      </c>
      <c r="C42" s="26">
        <f t="shared" si="0"/>
        <v>142200</v>
      </c>
      <c r="D42" s="26">
        <f t="shared" si="1"/>
        <v>86000</v>
      </c>
    </row>
    <row r="43" spans="1:4">
      <c r="B43" s="21">
        <v>2000</v>
      </c>
      <c r="C43" s="26">
        <f t="shared" si="0"/>
        <v>158000</v>
      </c>
      <c r="D43" s="26">
        <f t="shared" si="1"/>
        <v>90000</v>
      </c>
    </row>
    <row r="61" spans="4:4">
      <c r="D61" s="1"/>
    </row>
  </sheetData>
  <mergeCells count="6">
    <mergeCell ref="F15:H15"/>
    <mergeCell ref="E2:F2"/>
    <mergeCell ref="A1:K1"/>
    <mergeCell ref="H7:M7"/>
    <mergeCell ref="E7:F7"/>
    <mergeCell ref="B7:C7"/>
  </mergeCells>
  <dataValidations count="1">
    <dataValidation type="list" allowBlank="1" showInputMessage="1" showErrorMessage="1" sqref="C5" xr:uid="{6C2C1B24-FC9B-4A58-9E22-D0B199E5517D}">
      <formula1>$H$9:$H$11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2026-02-25T03:10:57Z</dcterms:created>
  <dcterms:modified xsi:type="dcterms:W3CDTF">2026-03-05T00:32:57Z</dcterms:modified>
</cp:coreProperties>
</file>