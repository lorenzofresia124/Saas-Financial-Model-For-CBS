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\Desktop\PROGETTO 1\"/>
    </mc:Choice>
  </mc:AlternateContent>
  <xr:revisionPtr revIDLastSave="0" documentId="13_ncr:1_{99C94533-6BC9-4B0A-B7E1-799BC8F61EAF}" xr6:coauthVersionLast="47" xr6:coauthVersionMax="47" xr10:uidLastSave="{00000000-0000-0000-0000-000000000000}"/>
  <bookViews>
    <workbookView xWindow="-108" yWindow="-108" windowWidth="23256" windowHeight="12456" xr2:uid="{CC1CE89A-6570-4B90-BD1C-BA0AC80FD5B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1" l="1"/>
  <c r="C7" i="1"/>
  <c r="I8" i="1" l="1"/>
  <c r="I7" i="1"/>
  <c r="I6" i="1"/>
  <c r="I10" i="1"/>
  <c r="I11" i="1" s="1"/>
  <c r="F6" i="1"/>
  <c r="C22" i="1"/>
  <c r="C23" i="1" s="1"/>
  <c r="B31" i="1"/>
  <c r="F10" i="1" l="1"/>
  <c r="C8" i="1"/>
  <c r="I18" i="1" l="1"/>
  <c r="C5" i="1" l="1"/>
  <c r="C6" i="1"/>
  <c r="F5" i="1" l="1"/>
  <c r="H34" i="1"/>
  <c r="H33" i="1"/>
  <c r="F20" i="1"/>
  <c r="H37" i="1"/>
  <c r="H43" i="1"/>
  <c r="F19" i="1"/>
  <c r="H46" i="1"/>
  <c r="F22" i="1"/>
  <c r="H32" i="1"/>
  <c r="F11" i="1"/>
  <c r="H38" i="1"/>
  <c r="F9" i="1"/>
  <c r="H29" i="1"/>
  <c r="H41" i="1"/>
  <c r="H40" i="1"/>
  <c r="H35" i="1"/>
  <c r="H27" i="1"/>
  <c r="H31" i="1"/>
  <c r="H36" i="1"/>
  <c r="H30" i="1"/>
  <c r="H28" i="1"/>
  <c r="H44" i="1"/>
  <c r="H39" i="1"/>
  <c r="H42" i="1"/>
  <c r="H45" i="1"/>
  <c r="F18" i="1" l="1"/>
  <c r="F21" i="1"/>
  <c r="B30" i="1"/>
  <c r="B29" i="1"/>
  <c r="F7" i="1"/>
  <c r="F8" i="1"/>
  <c r="F17" i="1" l="1"/>
  <c r="I17" i="1"/>
</calcChain>
</file>

<file path=xl/sharedStrings.xml><?xml version="1.0" encoding="utf-8"?>
<sst xmlns="http://schemas.openxmlformats.org/spreadsheetml/2006/main" count="49" uniqueCount="45">
  <si>
    <t>Price</t>
  </si>
  <si>
    <t>Variable Cost</t>
  </si>
  <si>
    <t>Churn rate</t>
  </si>
  <si>
    <t>CAC (Customer Acquisition Cost)</t>
  </si>
  <si>
    <t>Contribution Margin</t>
  </si>
  <si>
    <t>Customer Lifetime (months)</t>
  </si>
  <si>
    <t>LTV</t>
  </si>
  <si>
    <t>CAC Payback Period</t>
  </si>
  <si>
    <t>Marketing Spend (input)</t>
  </si>
  <si>
    <t>Cost per Lead</t>
  </si>
  <si>
    <t>Conversion Rate</t>
  </si>
  <si>
    <t>Leads per month</t>
  </si>
  <si>
    <t>New Paid Subscribers</t>
  </si>
  <si>
    <t>Subscribers (reference from main model)</t>
  </si>
  <si>
    <t>Capacity per Tier</t>
  </si>
  <si>
    <t>Cost per Tier</t>
  </si>
  <si>
    <t>Tiers Needed</t>
  </si>
  <si>
    <t>LTV, CAC, Scalability, &amp; Acquisition Dynamics</t>
  </si>
  <si>
    <t>Metric</t>
  </si>
  <si>
    <t>Value</t>
  </si>
  <si>
    <t>CAC</t>
  </si>
  <si>
    <t>Churn Rate</t>
  </si>
  <si>
    <t>Monthly Profit</t>
  </si>
  <si>
    <t>SUBSCRIBERS</t>
  </si>
  <si>
    <t>MONTLY FIXED COST</t>
  </si>
  <si>
    <t>Break-even churn</t>
  </si>
  <si>
    <t>INPUTS</t>
  </si>
  <si>
    <t>OUTPUTS</t>
  </si>
  <si>
    <t>DYNAMICS</t>
  </si>
  <si>
    <t xml:space="preserve">Server Cost </t>
  </si>
  <si>
    <t>LTV/CAC ratio</t>
  </si>
  <si>
    <t>MRR</t>
  </si>
  <si>
    <t>NRR</t>
  </si>
  <si>
    <t>Revenue Churn</t>
  </si>
  <si>
    <t>Net MRR Growth</t>
  </si>
  <si>
    <t xml:space="preserve">Magic Number </t>
  </si>
  <si>
    <t>Marketing Spend</t>
  </si>
  <si>
    <t>Net MRR</t>
  </si>
  <si>
    <t>New MRR</t>
  </si>
  <si>
    <t xml:space="preserve">       SaaS Unit Economics &amp; Growth Model</t>
  </si>
  <si>
    <t>MODEL INPUTS</t>
  </si>
  <si>
    <t>UNITS ECONOMICS</t>
  </si>
  <si>
    <t>GROWTH FUNNEL</t>
  </si>
  <si>
    <t>GROWTH METRICS</t>
  </si>
  <si>
    <t>INFRASTRUCTURE SCALABILITY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</si>
</sst>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DKK]\ * #,##0.00_-;\-[$DKK]\ * #,##0.00_-;_-[$DKK]\ * &quot;-&quot;??_-;_-@_-"/>
    <numFmt numFmtId="165" formatCode="0.0"/>
    <numFmt numFmtId="166" formatCode="_-[$DKK]\ * #,##0_-;\-[$DKK]\ * #,##0_-;_-[$DKK]\ * &quot;-&quot;_-;_-@_-"/>
    <numFmt numFmtId="167" formatCode="_-[$DKK]\ * #,##0_-;\-[$DKK]\ * #,##0_-;_-[$DKK]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6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0" borderId="1" xfId="0" applyFont="1" applyBorder="1" applyAlignment="1">
      <alignment vertical="center"/>
    </xf>
    <xf numFmtId="165" fontId="0" fillId="0" borderId="1" xfId="0" applyNumberFormat="1" applyBorder="1"/>
    <xf numFmtId="1" fontId="0" fillId="0" borderId="1" xfId="0" applyNumberFormat="1" applyBorder="1"/>
    <xf numFmtId="1" fontId="0" fillId="0" borderId="0" xfId="0" applyNumberFormat="1"/>
    <xf numFmtId="9" fontId="0" fillId="0" borderId="0" xfId="1" applyFont="1"/>
    <xf numFmtId="0" fontId="0" fillId="0" borderId="1" xfId="0" applyFill="1" applyBorder="1"/>
    <xf numFmtId="9" fontId="0" fillId="0" borderId="1" xfId="1" applyFont="1" applyBorder="1"/>
    <xf numFmtId="0" fontId="0" fillId="0" borderId="0" xfId="0" applyBorder="1"/>
    <xf numFmtId="166" fontId="0" fillId="0" borderId="0" xfId="0" applyNumberFormat="1"/>
    <xf numFmtId="166" fontId="0" fillId="0" borderId="1" xfId="0" applyNumberFormat="1" applyBorder="1"/>
    <xf numFmtId="164" fontId="0" fillId="0" borderId="3" xfId="0" applyNumberFormat="1" applyBorder="1"/>
    <xf numFmtId="166" fontId="0" fillId="4" borderId="1" xfId="0" applyNumberFormat="1" applyFill="1" applyBorder="1"/>
    <xf numFmtId="9" fontId="0" fillId="4" borderId="1" xfId="0" applyNumberFormat="1" applyFill="1" applyBorder="1"/>
    <xf numFmtId="167" fontId="0" fillId="4" borderId="1" xfId="0" applyNumberFormat="1" applyFill="1" applyBorder="1"/>
    <xf numFmtId="0" fontId="0" fillId="4" borderId="1" xfId="0" applyFill="1" applyBorder="1"/>
    <xf numFmtId="1" fontId="0" fillId="4" borderId="1" xfId="0" applyNumberFormat="1" applyFill="1" applyBorder="1"/>
    <xf numFmtId="166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1" fillId="5" borderId="1" xfId="0" applyFont="1" applyFill="1" applyBorder="1"/>
    <xf numFmtId="0" fontId="0" fillId="6" borderId="1" xfId="0" applyFill="1" applyBorder="1"/>
    <xf numFmtId="164" fontId="0" fillId="6" borderId="1" xfId="0" applyNumberFormat="1" applyFill="1" applyBorder="1"/>
    <xf numFmtId="2" fontId="0" fillId="0" borderId="1" xfId="0" applyNumberFormat="1" applyBorder="1" applyAlignment="1">
      <alignment horizontal="righ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D9D9D9"/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Customer Value vs Acquisition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Sheet1!$I$16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CC-4BE4-8902-E8A0983D9B08}"/>
              </c:ext>
            </c:extLst>
          </c:dPt>
          <c:cat>
            <c:strRef>
              <c:f>Sheet1!$H$17:$H$18</c:f>
              <c:strCache>
                <c:ptCount val="2"/>
                <c:pt idx="0">
                  <c:v>LTV</c:v>
                </c:pt>
                <c:pt idx="1">
                  <c:v>CAC</c:v>
                </c:pt>
              </c:strCache>
            </c:strRef>
          </c:cat>
          <c:val>
            <c:numRef>
              <c:f>Sheet1!$I$17:$I$18</c:f>
              <c:numCache>
                <c:formatCode>_-[$DKK]\ * #,##0_-;\-[$DKK]\ * #,##0_-;_-[$DKK]\ * "-"_-;_-@_-</c:formatCode>
                <c:ptCount val="2"/>
                <c:pt idx="0">
                  <c:v>771.42857142857133</c:v>
                </c:pt>
                <c:pt idx="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7-483A-B435-EA381B3DC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9720608"/>
        <c:axId val="42291056"/>
      </c:barChart>
      <c:catAx>
        <c:axId val="3972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91056"/>
        <c:crosses val="autoZero"/>
        <c:auto val="1"/>
        <c:lblAlgn val="ctr"/>
        <c:lblOffset val="100"/>
        <c:noMultiLvlLbl val="0"/>
      </c:catAx>
      <c:valAx>
        <c:axId val="4229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DKK]\ * #,##0_-;\-[$DKK]\ * #,##0_-;_-[$DKK]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2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Profit</a:t>
            </a:r>
            <a:r>
              <a:rPr lang="en-US" sz="1200" b="1" baseline="0"/>
              <a:t> Sensitivity to Churn Rate</a:t>
            </a:r>
            <a:endParaRPr lang="en-US" sz="1200" b="1"/>
          </a:p>
        </c:rich>
      </c:tx>
      <c:layout>
        <c:manualLayout>
          <c:xMode val="edge"/>
          <c:yMode val="edge"/>
          <c:x val="0.33072475749586766"/>
          <c:y val="1.9151690689639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Sheet1!$H$26</c:f>
              <c:strCache>
                <c:ptCount val="1"/>
                <c:pt idx="0">
                  <c:v>Monthly Profit</c:v>
                </c:pt>
              </c:strCache>
            </c:strRef>
          </c:tx>
          <c:spPr>
            <a:ln w="317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Sheet1!$G$27:$G$46</c:f>
              <c:numCache>
                <c:formatCode>0%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Sheet1!$H$27:$H$46</c:f>
              <c:numCache>
                <c:formatCode>_-[$DKK]\ * #,##0_-;\-[$DKK]\ * #,##0_-;_-[$DKK]\ * "-"_-;_-@_-</c:formatCode>
                <c:ptCount val="20"/>
                <c:pt idx="0">
                  <c:v>-4956.5</c:v>
                </c:pt>
                <c:pt idx="1">
                  <c:v>-5213</c:v>
                </c:pt>
                <c:pt idx="2">
                  <c:v>-5469.5</c:v>
                </c:pt>
                <c:pt idx="3">
                  <c:v>-5726</c:v>
                </c:pt>
                <c:pt idx="4">
                  <c:v>-5982.5</c:v>
                </c:pt>
                <c:pt idx="5">
                  <c:v>-6239</c:v>
                </c:pt>
                <c:pt idx="6">
                  <c:v>-6495.5</c:v>
                </c:pt>
                <c:pt idx="7">
                  <c:v>-6752</c:v>
                </c:pt>
                <c:pt idx="8">
                  <c:v>-7008.5</c:v>
                </c:pt>
                <c:pt idx="9">
                  <c:v>-7265</c:v>
                </c:pt>
                <c:pt idx="10">
                  <c:v>-7521.5</c:v>
                </c:pt>
                <c:pt idx="11">
                  <c:v>-7778</c:v>
                </c:pt>
                <c:pt idx="12">
                  <c:v>-8034.5</c:v>
                </c:pt>
                <c:pt idx="13">
                  <c:v>-8291.0000000000073</c:v>
                </c:pt>
                <c:pt idx="14">
                  <c:v>-8547.5</c:v>
                </c:pt>
                <c:pt idx="15">
                  <c:v>-8804</c:v>
                </c:pt>
                <c:pt idx="16">
                  <c:v>-9060.5</c:v>
                </c:pt>
                <c:pt idx="17">
                  <c:v>-9317</c:v>
                </c:pt>
                <c:pt idx="18">
                  <c:v>-9573.5</c:v>
                </c:pt>
                <c:pt idx="19">
                  <c:v>-9830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7-4E08-BEEC-13CB14D17290}"/>
            </c:ext>
          </c:extLst>
        </c:ser>
        <c:ser>
          <c:idx val="2"/>
          <c:order val="1"/>
          <c:tx>
            <c:v>Break-even Churn</c:v>
          </c:tx>
          <c:spPr>
            <a:ln w="2222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Sheet1!$B$29:$B$30</c:f>
              <c:numCache>
                <c:formatCode>0%</c:formatCode>
                <c:ptCount val="2"/>
                <c:pt idx="0">
                  <c:v>-0.18323586744639364</c:v>
                </c:pt>
                <c:pt idx="1">
                  <c:v>-0.18323586744639364</c:v>
                </c:pt>
              </c:numCache>
            </c:numRef>
          </c:xVal>
          <c:yVal>
            <c:numRef>
              <c:f>Sheet1!$B$31:$B$32</c:f>
              <c:numCache>
                <c:formatCode>General</c:formatCode>
                <c:ptCount val="2"/>
                <c:pt idx="0">
                  <c:v>-12000</c:v>
                </c:pt>
                <c:pt idx="1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47-4425-82AC-C0551A9F3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219840"/>
        <c:axId val="279214016"/>
      </c:scatterChart>
      <c:valAx>
        <c:axId val="279219840"/>
        <c:scaling>
          <c:orientation val="minMax"/>
          <c:max val="0.4"/>
          <c:min val="-0.2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14016"/>
        <c:crosses val="autoZero"/>
        <c:crossBetween val="midCat"/>
        <c:majorUnit val="5.000000000000001E-2"/>
      </c:valAx>
      <c:valAx>
        <c:axId val="279214016"/>
        <c:scaling>
          <c:orientation val="minMax"/>
          <c:max val="30000"/>
          <c:min val="-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DKK]\ * #,##0_-;\-[$DKK]\ * #,##0_-;_-[$DKK]\ * &quot;-&quot;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19840"/>
        <c:crosses val="autoZero"/>
        <c:crossBetween val="midCat"/>
        <c:majorUnit val="4000"/>
      </c:valAx>
      <c:spPr>
        <a:solidFill>
          <a:schemeClr val="bg1">
            <a:lumMod val="9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962336</xdr:colOff>
      <xdr:row>12</xdr:row>
      <xdr:rowOff>3043</xdr:rowOff>
    </xdr:from>
    <xdr:to>
      <xdr:col>9</xdr:col>
      <xdr:colOff>859970</xdr:colOff>
      <xdr:row>24</xdr:row>
      <xdr:rowOff>10886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A42F85-1669-4A45-8A45-869DDF67D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2343479</xdr:colOff>
      <xdr:row>24</xdr:row>
      <xdr:rowOff>178069</xdr:rowOff>
    </xdr:from>
    <xdr:to>
      <xdr:col>5</xdr:col>
      <xdr:colOff>168833</xdr:colOff>
      <xdr:row>47</xdr:row>
      <xdr:rowOff>27302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C060A5-F17F-4FE4-A80B-B7DE3CDEF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5">
          <cell r="C5" t="str">
            <v>Pessimistic</v>
          </cell>
        </row>
        <row r="8">
          <cell r="C8">
            <v>75</v>
          </cell>
        </row>
        <row r="9">
          <cell r="C9">
            <v>21</v>
          </cell>
          <cell r="H9" t="str">
            <v>Base</v>
          </cell>
          <cell r="L9">
            <v>1000</v>
          </cell>
          <cell r="M9">
            <v>0.05</v>
          </cell>
        </row>
        <row r="10">
          <cell r="H10" t="str">
            <v>Optimistic</v>
          </cell>
          <cell r="L10">
            <v>1200</v>
          </cell>
          <cell r="M10">
            <v>0.03</v>
          </cell>
        </row>
        <row r="11">
          <cell r="H11" t="str">
            <v>Pessimistic</v>
          </cell>
          <cell r="L11">
            <v>950</v>
          </cell>
          <cell r="M11">
            <v>7.0000000000000007E-2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33BB-8E53-46A9-AC0F-DE9F3D20B548}">
  <dimension ref="A1:K46"/>
  <sheetViews>
    <sheetView showGridLines="0" tabSelected="1" zoomScale="70" zoomScaleNormal="70" workbookViewId="0">
      <selection activeCell="C23" sqref="C23"/>
    </sheetView>
  </sheetViews>
  <sheetFormatPr defaultRowHeight="14.4" x14ac:dyDescent="0.3"/>
  <cols>
    <col min="1" max="1" width="34.21875" customWidth="1"/>
    <col min="2" max="2" width="29.44140625" customWidth="1"/>
    <col min="3" max="3" width="15.44140625" customWidth="1"/>
    <col min="4" max="4" width="14.5546875" customWidth="1"/>
    <col min="5" max="5" width="26.109375" customWidth="1"/>
    <col min="6" max="6" width="15.6640625" customWidth="1"/>
    <col min="7" max="7" width="14.44140625" customWidth="1"/>
    <col min="8" max="8" width="22.44140625" customWidth="1"/>
    <col min="9" max="9" width="12.33203125" customWidth="1"/>
    <col min="10" max="10" width="14.44140625" customWidth="1"/>
    <col min="11" max="11" width="20.5546875" customWidth="1"/>
    <col min="12" max="12" width="14.88671875" customWidth="1"/>
    <col min="15" max="15" width="26.6640625" customWidth="1"/>
    <col min="16" max="16" width="19.33203125" customWidth="1"/>
  </cols>
  <sheetData>
    <row r="1" spans="1:11" ht="25.8" x14ac:dyDescent="0.5">
      <c r="A1" s="28" t="s">
        <v>39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3">
      <c r="A2" s="30" t="s">
        <v>17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4" spans="1:11" x14ac:dyDescent="0.3">
      <c r="B4" s="33" t="s">
        <v>40</v>
      </c>
      <c r="C4" s="35"/>
      <c r="E4" s="33" t="s">
        <v>41</v>
      </c>
      <c r="F4" s="35"/>
      <c r="H4" s="31" t="s">
        <v>42</v>
      </c>
      <c r="I4" s="32"/>
    </row>
    <row r="5" spans="1:11" ht="14.4" customHeight="1" x14ac:dyDescent="0.3">
      <c r="B5" s="2" t="s">
        <v>0</v>
      </c>
      <c r="C5" s="15">
        <f>[1]Sheet1!$C$8</f>
        <v>75</v>
      </c>
      <c r="E5" s="2" t="s">
        <v>4</v>
      </c>
      <c r="F5" s="2">
        <f>C5-C6</f>
        <v>54</v>
      </c>
      <c r="H5" s="26" t="s">
        <v>26</v>
      </c>
      <c r="I5" s="27"/>
    </row>
    <row r="6" spans="1:11" x14ac:dyDescent="0.3">
      <c r="B6" s="2" t="s">
        <v>1</v>
      </c>
      <c r="C6" s="15">
        <f>[1]Sheet1!$C$9</f>
        <v>21</v>
      </c>
      <c r="E6" s="2" t="s">
        <v>5</v>
      </c>
      <c r="F6" s="6">
        <f>1/C7</f>
        <v>14.285714285714285</v>
      </c>
      <c r="H6" s="2" t="s">
        <v>36</v>
      </c>
      <c r="I6" s="18">
        <f>C9</f>
        <v>15000</v>
      </c>
    </row>
    <row r="7" spans="1:11" x14ac:dyDescent="0.3">
      <c r="B7" s="2" t="s">
        <v>2</v>
      </c>
      <c r="C7" s="16">
        <f>INDEX([1]Sheet1!$M$9:$M$11, MATCH([1]Sheet1!$C$5, [1]Sheet1!$H$9:$H$11, 0))</f>
        <v>7.0000000000000007E-2</v>
      </c>
      <c r="E7" s="2" t="s">
        <v>6</v>
      </c>
      <c r="F7" s="13">
        <f>F5/C7</f>
        <v>771.42857142857133</v>
      </c>
      <c r="H7" s="2" t="s">
        <v>9</v>
      </c>
      <c r="I7" s="18">
        <f>C10</f>
        <v>30</v>
      </c>
    </row>
    <row r="8" spans="1:11" x14ac:dyDescent="0.3">
      <c r="B8" s="2" t="s">
        <v>3</v>
      </c>
      <c r="C8" s="17">
        <f>(C9/I11)</f>
        <v>500</v>
      </c>
      <c r="E8" s="2" t="s">
        <v>7</v>
      </c>
      <c r="F8" s="5">
        <f>C8/F5</f>
        <v>9.2592592592592595</v>
      </c>
      <c r="H8" s="2" t="s">
        <v>10</v>
      </c>
      <c r="I8" s="16">
        <f>C11</f>
        <v>0.06</v>
      </c>
    </row>
    <row r="9" spans="1:11" x14ac:dyDescent="0.3">
      <c r="B9" s="2" t="s">
        <v>8</v>
      </c>
      <c r="C9" s="15">
        <v>15000</v>
      </c>
      <c r="E9" s="9" t="s">
        <v>25</v>
      </c>
      <c r="F9" s="10">
        <f>(2*(1-(D32+C23)/(C20*(C5-C6))))</f>
        <v>-0.18323586744639364</v>
      </c>
      <c r="H9" s="26" t="s">
        <v>27</v>
      </c>
      <c r="I9" s="27"/>
    </row>
    <row r="10" spans="1:11" x14ac:dyDescent="0.3">
      <c r="B10" s="2" t="s">
        <v>9</v>
      </c>
      <c r="C10" s="18">
        <v>30</v>
      </c>
      <c r="E10" s="9" t="s">
        <v>32</v>
      </c>
      <c r="F10" s="3">
        <f>1- C7</f>
        <v>0.92999999999999994</v>
      </c>
      <c r="H10" s="2" t="s">
        <v>11</v>
      </c>
      <c r="I10" s="23">
        <f>C9/C10</f>
        <v>500</v>
      </c>
    </row>
    <row r="11" spans="1:11" x14ac:dyDescent="0.3">
      <c r="B11" s="2" t="s">
        <v>10</v>
      </c>
      <c r="C11" s="16">
        <v>0.06</v>
      </c>
      <c r="E11" s="9" t="s">
        <v>31</v>
      </c>
      <c r="F11" s="14">
        <f>(C20*C5)</f>
        <v>71250</v>
      </c>
      <c r="H11" s="4" t="s">
        <v>12</v>
      </c>
      <c r="I11" s="23">
        <f>I10*C11</f>
        <v>30</v>
      </c>
    </row>
    <row r="13" spans="1:11" x14ac:dyDescent="0.3">
      <c r="H13" s="11"/>
      <c r="I13" s="11"/>
    </row>
    <row r="14" spans="1:11" x14ac:dyDescent="0.3">
      <c r="H14" s="11"/>
      <c r="I14" s="11"/>
    </row>
    <row r="16" spans="1:11" x14ac:dyDescent="0.3">
      <c r="B16" s="33" t="s">
        <v>44</v>
      </c>
      <c r="C16" s="34"/>
      <c r="D16" s="8"/>
      <c r="E16" s="31" t="s">
        <v>43</v>
      </c>
      <c r="F16" s="32"/>
      <c r="H16" t="s">
        <v>18</v>
      </c>
      <c r="I16" t="s">
        <v>19</v>
      </c>
    </row>
    <row r="17" spans="2:9" x14ac:dyDescent="0.3">
      <c r="B17" s="26" t="s">
        <v>26</v>
      </c>
      <c r="C17" s="27"/>
      <c r="E17" s="2" t="s">
        <v>30</v>
      </c>
      <c r="F17" s="25">
        <f>(F7/C8)</f>
        <v>1.5428571428571427</v>
      </c>
      <c r="H17" t="s">
        <v>6</v>
      </c>
      <c r="I17" s="12">
        <f>F7</f>
        <v>771.42857142857133</v>
      </c>
    </row>
    <row r="18" spans="2:9" x14ac:dyDescent="0.3">
      <c r="B18" s="2" t="s">
        <v>14</v>
      </c>
      <c r="C18" s="18">
        <v>1000</v>
      </c>
      <c r="E18" s="2" t="s">
        <v>33</v>
      </c>
      <c r="F18" s="20">
        <f>(F11*C7)</f>
        <v>4987.5000000000009</v>
      </c>
      <c r="H18" t="s">
        <v>20</v>
      </c>
      <c r="I18" s="12">
        <f>C8</f>
        <v>500</v>
      </c>
    </row>
    <row r="19" spans="2:9" x14ac:dyDescent="0.3">
      <c r="B19" s="2" t="s">
        <v>15</v>
      </c>
      <c r="C19" s="15">
        <v>6000</v>
      </c>
      <c r="E19" s="2" t="s">
        <v>38</v>
      </c>
      <c r="F19" s="13">
        <f>(I11*C5)</f>
        <v>2250</v>
      </c>
    </row>
    <row r="20" spans="2:9" x14ac:dyDescent="0.3">
      <c r="B20" s="2" t="s">
        <v>13</v>
      </c>
      <c r="C20" s="19">
        <f>INDEX([1]Sheet1!$L$9:$L$11,MATCH([1]Sheet1!$C$5,[1]Sheet1!$H$9:$H$11,0))</f>
        <v>950</v>
      </c>
      <c r="E20" s="2" t="s">
        <v>34</v>
      </c>
      <c r="F20" s="20">
        <f>(I11*C5) - (C20*C5*C7)</f>
        <v>-2737.5000000000009</v>
      </c>
    </row>
    <row r="21" spans="2:9" x14ac:dyDescent="0.3">
      <c r="B21" s="26" t="s">
        <v>28</v>
      </c>
      <c r="C21" s="27"/>
      <c r="E21" s="9" t="s">
        <v>37</v>
      </c>
      <c r="F21" s="20">
        <f>(F11+F20)</f>
        <v>68512.5</v>
      </c>
    </row>
    <row r="22" spans="2:9" x14ac:dyDescent="0.3">
      <c r="B22" s="2" t="s">
        <v>16</v>
      </c>
      <c r="C22" s="23">
        <f>ROUNDUP(C20/C18,0)</f>
        <v>1</v>
      </c>
      <c r="E22" s="9" t="s">
        <v>35</v>
      </c>
      <c r="F22" s="21">
        <f>(I11 *C5*12) /C9</f>
        <v>1.8</v>
      </c>
    </row>
    <row r="23" spans="2:9" x14ac:dyDescent="0.3">
      <c r="B23" s="2" t="s">
        <v>29</v>
      </c>
      <c r="C23" s="24">
        <f>C22*C19</f>
        <v>6000</v>
      </c>
    </row>
    <row r="26" spans="2:9" x14ac:dyDescent="0.3">
      <c r="G26" s="22" t="s">
        <v>21</v>
      </c>
      <c r="H26" s="22" t="s">
        <v>22</v>
      </c>
    </row>
    <row r="27" spans="2:9" x14ac:dyDescent="0.3">
      <c r="G27" s="3">
        <v>0.01</v>
      </c>
      <c r="H27" s="13">
        <f t="shared" ref="H27:H46" si="0">($C$20*(1-G27/2)*($C$5-$C$6))-$D$32-$C$23</f>
        <v>-4956.5</v>
      </c>
    </row>
    <row r="28" spans="2:9" x14ac:dyDescent="0.3">
      <c r="G28" s="3">
        <v>0.02</v>
      </c>
      <c r="H28" s="13">
        <f t="shared" si="0"/>
        <v>-5213</v>
      </c>
    </row>
    <row r="29" spans="2:9" x14ac:dyDescent="0.3">
      <c r="B29" s="1">
        <f>F9</f>
        <v>-0.18323586744639364</v>
      </c>
      <c r="D29" t="s">
        <v>23</v>
      </c>
      <c r="G29" s="3">
        <v>0.03</v>
      </c>
      <c r="H29" s="13">
        <f t="shared" si="0"/>
        <v>-5469.5</v>
      </c>
    </row>
    <row r="30" spans="2:9" x14ac:dyDescent="0.3">
      <c r="B30" s="1">
        <f>F9</f>
        <v>-0.18323586744639364</v>
      </c>
      <c r="D30" s="7">
        <v>847.45762711864404</v>
      </c>
      <c r="G30" s="3">
        <v>0.04</v>
      </c>
      <c r="H30" s="13">
        <f t="shared" si="0"/>
        <v>-5726</v>
      </c>
    </row>
    <row r="31" spans="2:9" x14ac:dyDescent="0.3">
      <c r="B31">
        <f>-12000</f>
        <v>-12000</v>
      </c>
      <c r="D31" t="s">
        <v>24</v>
      </c>
      <c r="G31" s="3">
        <v>0.05</v>
      </c>
      <c r="H31" s="13">
        <f t="shared" si="0"/>
        <v>-5982.5</v>
      </c>
    </row>
    <row r="32" spans="2:9" x14ac:dyDescent="0.3">
      <c r="B32">
        <v>30000</v>
      </c>
      <c r="D32">
        <v>50000</v>
      </c>
      <c r="G32" s="3">
        <v>0.06</v>
      </c>
      <c r="H32" s="13">
        <f t="shared" si="0"/>
        <v>-6239</v>
      </c>
    </row>
    <row r="33" spans="7:8" x14ac:dyDescent="0.3">
      <c r="G33" s="3">
        <v>7.0000000000000007E-2</v>
      </c>
      <c r="H33" s="13">
        <f t="shared" si="0"/>
        <v>-6495.5</v>
      </c>
    </row>
    <row r="34" spans="7:8" x14ac:dyDescent="0.3">
      <c r="G34" s="3">
        <v>0.08</v>
      </c>
      <c r="H34" s="13">
        <f t="shared" si="0"/>
        <v>-6752</v>
      </c>
    </row>
    <row r="35" spans="7:8" x14ac:dyDescent="0.3">
      <c r="G35" s="3">
        <v>0.09</v>
      </c>
      <c r="H35" s="13">
        <f t="shared" si="0"/>
        <v>-7008.5</v>
      </c>
    </row>
    <row r="36" spans="7:8" x14ac:dyDescent="0.3">
      <c r="G36" s="3">
        <v>0.1</v>
      </c>
      <c r="H36" s="13">
        <f t="shared" si="0"/>
        <v>-7265</v>
      </c>
    </row>
    <row r="37" spans="7:8" x14ac:dyDescent="0.3">
      <c r="G37" s="3">
        <v>0.11</v>
      </c>
      <c r="H37" s="13">
        <f t="shared" si="0"/>
        <v>-7521.5</v>
      </c>
    </row>
    <row r="38" spans="7:8" x14ac:dyDescent="0.3">
      <c r="G38" s="3">
        <v>0.12</v>
      </c>
      <c r="H38" s="13">
        <f t="shared" si="0"/>
        <v>-7778</v>
      </c>
    </row>
    <row r="39" spans="7:8" x14ac:dyDescent="0.3">
      <c r="G39" s="3">
        <v>0.13</v>
      </c>
      <c r="H39" s="13">
        <f t="shared" si="0"/>
        <v>-8034.5</v>
      </c>
    </row>
    <row r="40" spans="7:8" x14ac:dyDescent="0.3">
      <c r="G40" s="3">
        <v>0.14000000000000001</v>
      </c>
      <c r="H40" s="13">
        <f t="shared" si="0"/>
        <v>-8291.0000000000073</v>
      </c>
    </row>
    <row r="41" spans="7:8" x14ac:dyDescent="0.3">
      <c r="G41" s="3">
        <v>0.15</v>
      </c>
      <c r="H41" s="13">
        <f t="shared" si="0"/>
        <v>-8547.5</v>
      </c>
    </row>
    <row r="42" spans="7:8" x14ac:dyDescent="0.3">
      <c r="G42" s="3">
        <v>0.16</v>
      </c>
      <c r="H42" s="13">
        <f t="shared" si="0"/>
        <v>-8804</v>
      </c>
    </row>
    <row r="43" spans="7:8" x14ac:dyDescent="0.3">
      <c r="G43" s="3">
        <v>0.17</v>
      </c>
      <c r="H43" s="13">
        <f t="shared" si="0"/>
        <v>-9060.5</v>
      </c>
    </row>
    <row r="44" spans="7:8" x14ac:dyDescent="0.3">
      <c r="G44" s="3">
        <v>0.18</v>
      </c>
      <c r="H44" s="13">
        <f t="shared" si="0"/>
        <v>-9317</v>
      </c>
    </row>
    <row r="45" spans="7:8" x14ac:dyDescent="0.3">
      <c r="G45" s="3">
        <v>0.19</v>
      </c>
      <c r="H45" s="13">
        <f t="shared" si="0"/>
        <v>-9573.5</v>
      </c>
    </row>
    <row r="46" spans="7:8" x14ac:dyDescent="0.3">
      <c r="G46" s="3">
        <v>0.2</v>
      </c>
      <c r="H46" s="13">
        <f t="shared" si="0"/>
        <v>-9830</v>
      </c>
    </row>
  </sheetData>
  <mergeCells count="11">
    <mergeCell ref="B17:C17"/>
    <mergeCell ref="B21:C21"/>
    <mergeCell ref="H9:I9"/>
    <mergeCell ref="H5:I5"/>
    <mergeCell ref="A1:K1"/>
    <mergeCell ref="A2:K2"/>
    <mergeCell ref="H4:I4"/>
    <mergeCell ref="B16:C16"/>
    <mergeCell ref="B4:C4"/>
    <mergeCell ref="E4:F4"/>
    <mergeCell ref="E16:F1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Fresia</dc:creator>
  <cp:lastModifiedBy>Lorenzo Fresia</cp:lastModifiedBy>
  <dcterms:created xsi:type="dcterms:W3CDTF">2026-02-28T00:56:30Z</dcterms:created>
  <dcterms:modified xsi:type="dcterms:W3CDTF">2026-03-06T03:30:54Z</dcterms:modified>
</cp:coreProperties>
</file>